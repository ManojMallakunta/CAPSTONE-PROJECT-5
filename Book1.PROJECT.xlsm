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E2EAE929-8FC4-4DED-A00B-1A434CB8AA6E}" xr6:coauthVersionLast="47" xr6:coauthVersionMax="47" xr10:uidLastSave="{00000000-0000-0000-0000-000000000000}"/>
  <bookViews>
    <workbookView xWindow="-120" yWindow="-120" windowWidth="20730" windowHeight="11040" xr2:uid="{FAD24051-B1AD-44A7-9347-CD9C8F49E42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/>
  <c r="G29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5" i="1"/>
  <c r="C6" i="1" s="1"/>
  <c r="C7" i="1" s="1"/>
  <c r="J13" i="1"/>
  <c r="J9" i="1"/>
  <c r="J10" i="1" s="1"/>
</calcChain>
</file>

<file path=xl/sharedStrings.xml><?xml version="1.0" encoding="utf-8"?>
<sst xmlns="http://schemas.openxmlformats.org/spreadsheetml/2006/main" count="28" uniqueCount="28">
  <si>
    <t>AMOUNT</t>
  </si>
  <si>
    <t>PRICE</t>
  </si>
  <si>
    <t>QTY</t>
  </si>
  <si>
    <t>ITEAM NAME</t>
  </si>
  <si>
    <t>S.NO</t>
  </si>
  <si>
    <t>HARD DISK</t>
  </si>
  <si>
    <t>INPUT DATA</t>
  </si>
  <si>
    <t>TOTAL DATA</t>
  </si>
  <si>
    <t>LCD</t>
  </si>
  <si>
    <t>PRINTER</t>
  </si>
  <si>
    <t>MONITOR</t>
  </si>
  <si>
    <t>FLASH DISK</t>
  </si>
  <si>
    <t>SPEAKERS</t>
  </si>
  <si>
    <t>KEYBOARD</t>
  </si>
  <si>
    <t>COMPUTER</t>
  </si>
  <si>
    <t>MOUSE</t>
  </si>
  <si>
    <t>LAPTOP</t>
  </si>
  <si>
    <t>UNIT PRICE</t>
  </si>
  <si>
    <t xml:space="preserve">  ITEAM NAME</t>
  </si>
  <si>
    <t>DATA TABLE</t>
  </si>
  <si>
    <t>S.No</t>
  </si>
  <si>
    <t>Item Name</t>
  </si>
  <si>
    <t>Qty</t>
  </si>
  <si>
    <t>Price</t>
  </si>
  <si>
    <t>Amount</t>
  </si>
  <si>
    <t>Total</t>
  </si>
  <si>
    <t>MAHADEV COMPUTER'S</t>
  </si>
  <si>
    <t>Bill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</si>
</sst>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ahnschrift Condensed"/>
      <family val="2"/>
    </font>
    <font>
      <sz val="16"/>
      <color theme="1"/>
      <name val="Calibri"/>
      <family val="2"/>
      <scheme val="minor"/>
    </font>
    <font>
      <sz val="18"/>
      <color theme="1"/>
      <name val="Bernard MT Condensed"/>
      <family val="1"/>
    </font>
    <font>
      <sz val="16"/>
      <color theme="1"/>
      <name val="Bodoni MT Black"/>
      <family val="1"/>
    </font>
    <font>
      <sz val="14"/>
      <color theme="3" tint="0.7999816888943144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/>
    </xf>
    <xf numFmtId="0" fontId="2" fillId="3" borderId="6" xfId="0" applyFont="1" applyFill="1" applyBorder="1"/>
    <xf numFmtId="0" fontId="2" fillId="3" borderId="5" xfId="0" applyFont="1" applyFill="1" applyBorder="1"/>
    <xf numFmtId="0" fontId="2" fillId="3" borderId="7" xfId="0" applyFont="1" applyFill="1" applyBorder="1"/>
    <xf numFmtId="0" fontId="2" fillId="3" borderId="2" xfId="0" applyFont="1" applyFill="1" applyBorder="1"/>
    <xf numFmtId="0" fontId="2" fillId="3" borderId="4" xfId="0" applyFont="1" applyFill="1" applyBorder="1"/>
    <xf numFmtId="0" fontId="2" fillId="3" borderId="3" xfId="0" applyFont="1" applyFill="1" applyBorder="1"/>
    <xf numFmtId="0" fontId="2" fillId="3" borderId="8" xfId="0" applyFont="1" applyFill="1" applyBorder="1"/>
    <xf numFmtId="0" fontId="2" fillId="3" borderId="1" xfId="0" applyFont="1" applyFill="1" applyBorder="1"/>
    <xf numFmtId="0" fontId="2" fillId="3" borderId="9" xfId="0" applyFont="1" applyFill="1" applyBorder="1"/>
    <xf numFmtId="0" fontId="0" fillId="0" borderId="4" xfId="0" applyBorder="1" applyAlignment="1">
      <alignment horizontal="center"/>
    </xf>
    <xf numFmtId="0" fontId="0" fillId="4" borderId="4" xfId="0" applyFill="1" applyBorder="1"/>
    <xf numFmtId="0" fontId="3" fillId="5" borderId="4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5" fillId="6" borderId="4" xfId="0" applyFon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4" fontId="3" fillId="7" borderId="4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4" fillId="0" borderId="4" xfId="0" applyFont="1" applyBorder="1" applyAlignment="1"/>
    <xf numFmtId="0" fontId="6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10</xdr:row>
          <xdr:rowOff>19050</xdr:rowOff>
        </xdr:from>
        <xdr:to>
          <xdr:col>10</xdr:col>
          <xdr:colOff>104775</xdr:colOff>
          <xdr:row>11</xdr:row>
          <xdr:rowOff>150720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16</xdr:row>
          <xdr:rowOff>19050</xdr:rowOff>
        </xdr:from>
        <xdr:to>
          <xdr:col>8</xdr:col>
          <xdr:colOff>933450</xdr:colOff>
          <xdr:row>17</xdr:row>
          <xdr:rowOff>142875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19050</xdr:rowOff>
        </xdr:from>
        <xdr:to>
          <xdr:col>10</xdr:col>
          <xdr:colOff>209550</xdr:colOff>
          <xdr:row>17</xdr:row>
          <xdr:rowOff>123825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32</xdr:row>
          <xdr:rowOff>95250</xdr:rowOff>
        </xdr:from>
        <xdr:to>
          <xdr:col>40</xdr:col>
          <xdr:colOff>352425</xdr:colOff>
          <xdr:row>34</xdr:row>
          <xdr:rowOff>38100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3B76-A25C-4B3C-BE2F-C2E3F7237BE2}">
  <sheetPr codeName="Sheet1"/>
  <dimension ref="C1:O29"/>
  <sheetViews>
    <sheetView tabSelected="1" zoomScale="85" zoomScaleNormal="85" workbookViewId="0">
      <selection activeCell="A14" sqref="A14"/>
    </sheetView>
  </sheetViews>
  <sheetFormatPr defaultRowHeight="15" x14ac:dyDescent="0.25"/>
  <cols>
    <col min="3" max="3" width="8.5703125" customWidth="1"/>
    <col min="4" max="4" width="13.42578125" bestFit="1" customWidth="1"/>
    <col min="5" max="5" width="5.7109375" bestFit="1" customWidth="1"/>
    <col min="6" max="6" width="7.7109375" bestFit="1" customWidth="1"/>
    <col min="7" max="7" width="10.28515625" bestFit="1" customWidth="1"/>
    <col min="9" max="9" width="15.85546875" customWidth="1"/>
    <col min="10" max="10" width="13" customWidth="1"/>
    <col min="11" max="12" width="3.5703125" customWidth="1"/>
    <col min="14" max="14" width="16.42578125" customWidth="1"/>
    <col min="15" max="15" width="12.85546875" customWidth="1"/>
  </cols>
  <sheetData>
    <row r="1" spans="3:15" ht="18.75" customHeight="1" x14ac:dyDescent="0.3">
      <c r="C1" s="19" t="s">
        <v>26</v>
      </c>
      <c r="D1" s="20"/>
      <c r="E1" s="20"/>
      <c r="F1" s="20"/>
      <c r="G1" s="20"/>
    </row>
    <row r="2" spans="3:15" ht="21" x14ac:dyDescent="0.35">
      <c r="C2" s="21">
        <f ca="1">TODAY()</f>
        <v>44718</v>
      </c>
      <c r="D2" s="22"/>
      <c r="E2" s="22"/>
      <c r="F2" s="22"/>
      <c r="G2" s="22"/>
    </row>
    <row r="3" spans="3:15" ht="22.5" x14ac:dyDescent="0.3">
      <c r="C3" s="23" t="s">
        <v>27</v>
      </c>
      <c r="D3" s="24"/>
      <c r="E3" s="24"/>
      <c r="F3" s="24"/>
      <c r="G3" s="24"/>
    </row>
    <row r="4" spans="3:15" ht="15.75" thickBot="1" x14ac:dyDescent="0.3">
      <c r="C4" s="16" t="s">
        <v>20</v>
      </c>
      <c r="D4" s="17" t="s">
        <v>21</v>
      </c>
      <c r="E4" s="17" t="s">
        <v>22</v>
      </c>
      <c r="F4" s="17" t="s">
        <v>23</v>
      </c>
      <c r="G4" s="18" t="s">
        <v>24</v>
      </c>
    </row>
    <row r="5" spans="3:15" x14ac:dyDescent="0.25">
      <c r="C5" s="4" t="str">
        <f>IF(D5="","",1)</f>
        <v/>
      </c>
      <c r="D5" s="5"/>
      <c r="E5" s="5"/>
      <c r="F5" s="5"/>
      <c r="G5" s="6"/>
      <c r="I5" s="3" t="s">
        <v>6</v>
      </c>
      <c r="J5" s="3"/>
      <c r="K5" s="3" t="s">
        <v>19</v>
      </c>
      <c r="L5" s="3"/>
      <c r="M5" s="3"/>
    </row>
    <row r="6" spans="3:15" x14ac:dyDescent="0.25">
      <c r="C6" s="7" t="str">
        <f>IF(D6="","",C5+1)</f>
        <v/>
      </c>
      <c r="D6" s="8"/>
      <c r="E6" s="8"/>
      <c r="F6" s="8"/>
      <c r="G6" s="9"/>
      <c r="M6" s="1" t="s">
        <v>4</v>
      </c>
      <c r="N6" s="1" t="s">
        <v>18</v>
      </c>
      <c r="O6" s="1" t="s">
        <v>17</v>
      </c>
    </row>
    <row r="7" spans="3:15" x14ac:dyDescent="0.25">
      <c r="C7" s="7" t="str">
        <f t="shared" ref="C7:C28" si="0">IF(D7="","",C6+1)</f>
        <v/>
      </c>
      <c r="D7" s="8"/>
      <c r="E7" s="8"/>
      <c r="F7" s="8"/>
      <c r="G7" s="9"/>
      <c r="I7" t="s">
        <v>3</v>
      </c>
      <c r="J7" s="1"/>
      <c r="M7" s="13">
        <v>1</v>
      </c>
      <c r="N7" s="1" t="s">
        <v>16</v>
      </c>
      <c r="O7" s="1">
        <v>35000</v>
      </c>
    </row>
    <row r="8" spans="3:15" x14ac:dyDescent="0.25">
      <c r="C8" s="7" t="str">
        <f t="shared" si="0"/>
        <v/>
      </c>
      <c r="D8" s="8"/>
      <c r="E8" s="8"/>
      <c r="F8" s="8"/>
      <c r="G8" s="9"/>
      <c r="I8" t="s">
        <v>2</v>
      </c>
      <c r="J8" s="2"/>
      <c r="M8" s="13">
        <v>2</v>
      </c>
      <c r="N8" s="1" t="s">
        <v>15</v>
      </c>
      <c r="O8" s="1">
        <v>250</v>
      </c>
    </row>
    <row r="9" spans="3:15" x14ac:dyDescent="0.25">
      <c r="C9" s="7" t="str">
        <f t="shared" si="0"/>
        <v/>
      </c>
      <c r="D9" s="8"/>
      <c r="E9" s="8"/>
      <c r="F9" s="8"/>
      <c r="G9" s="9"/>
      <c r="I9" t="s">
        <v>1</v>
      </c>
      <c r="J9" s="1">
        <f>IFERROR(VLOOKUP(J7,Sheet1!N7:O16,2,FALSE),0)</f>
        <v>0</v>
      </c>
      <c r="M9" s="13">
        <v>3</v>
      </c>
      <c r="N9" s="1" t="s">
        <v>14</v>
      </c>
      <c r="O9" s="1">
        <v>20000</v>
      </c>
    </row>
    <row r="10" spans="3:15" x14ac:dyDescent="0.25">
      <c r="C10" s="7" t="str">
        <f t="shared" si="0"/>
        <v/>
      </c>
      <c r="D10" s="8"/>
      <c r="E10" s="8"/>
      <c r="F10" s="8"/>
      <c r="G10" s="9"/>
      <c r="I10" t="s">
        <v>0</v>
      </c>
      <c r="J10" s="1">
        <f>IFERROR(J8*J9,0)</f>
        <v>0</v>
      </c>
      <c r="M10" s="13">
        <v>4</v>
      </c>
      <c r="N10" s="1" t="s">
        <v>13</v>
      </c>
      <c r="O10" s="1">
        <v>350</v>
      </c>
    </row>
    <row r="11" spans="3:15" ht="15.75" customHeight="1" x14ac:dyDescent="0.25">
      <c r="C11" s="7" t="str">
        <f t="shared" si="0"/>
        <v/>
      </c>
      <c r="D11" s="8"/>
      <c r="E11" s="8"/>
      <c r="F11" s="8"/>
      <c r="G11" s="9"/>
      <c r="M11" s="13">
        <v>5</v>
      </c>
      <c r="N11" s="1" t="s">
        <v>12</v>
      </c>
      <c r="O11" s="1">
        <v>550</v>
      </c>
    </row>
    <row r="12" spans="3:15" x14ac:dyDescent="0.25">
      <c r="C12" s="7" t="str">
        <f t="shared" si="0"/>
        <v/>
      </c>
      <c r="D12" s="8"/>
      <c r="E12" s="8"/>
      <c r="F12" s="8"/>
      <c r="G12" s="9"/>
      <c r="M12" s="13">
        <v>6</v>
      </c>
      <c r="N12" s="1" t="s">
        <v>11</v>
      </c>
      <c r="O12" s="1">
        <v>4000</v>
      </c>
    </row>
    <row r="13" spans="3:15" x14ac:dyDescent="0.25">
      <c r="C13" s="7" t="str">
        <f t="shared" si="0"/>
        <v/>
      </c>
      <c r="D13" s="8"/>
      <c r="E13" s="8"/>
      <c r="F13" s="8"/>
      <c r="G13" s="9"/>
      <c r="I13" t="s">
        <v>7</v>
      </c>
      <c r="J13" s="1">
        <f>COUNTA(D5:D28)</f>
        <v>0</v>
      </c>
      <c r="M13" s="13">
        <v>7</v>
      </c>
      <c r="N13" s="1" t="s">
        <v>10</v>
      </c>
      <c r="O13" s="1">
        <v>3500</v>
      </c>
    </row>
    <row r="14" spans="3:15" x14ac:dyDescent="0.25">
      <c r="C14" s="7" t="str">
        <f t="shared" si="0"/>
        <v/>
      </c>
      <c r="D14" s="8"/>
      <c r="E14" s="8"/>
      <c r="F14" s="8"/>
      <c r="G14" s="9"/>
      <c r="M14" s="13">
        <v>8</v>
      </c>
      <c r="N14" s="1" t="s">
        <v>9</v>
      </c>
      <c r="O14" s="1">
        <v>5400</v>
      </c>
    </row>
    <row r="15" spans="3:15" x14ac:dyDescent="0.25">
      <c r="C15" s="7" t="str">
        <f t="shared" si="0"/>
        <v/>
      </c>
      <c r="D15" s="8"/>
      <c r="E15" s="8"/>
      <c r="F15" s="8"/>
      <c r="G15" s="9"/>
      <c r="M15" s="13">
        <v>9</v>
      </c>
      <c r="N15" s="1" t="s">
        <v>5</v>
      </c>
      <c r="O15" s="1">
        <v>2500</v>
      </c>
    </row>
    <row r="16" spans="3:15" x14ac:dyDescent="0.25">
      <c r="C16" s="7" t="str">
        <f t="shared" si="0"/>
        <v/>
      </c>
      <c r="D16" s="8"/>
      <c r="E16" s="8"/>
      <c r="F16" s="8"/>
      <c r="G16" s="9"/>
      <c r="M16" s="13">
        <v>10</v>
      </c>
      <c r="N16" s="1" t="s">
        <v>8</v>
      </c>
      <c r="O16" s="1">
        <v>3800</v>
      </c>
    </row>
    <row r="17" spans="3:15" x14ac:dyDescent="0.25">
      <c r="C17" s="7" t="str">
        <f t="shared" si="0"/>
        <v/>
      </c>
      <c r="D17" s="8"/>
      <c r="E17" s="8"/>
      <c r="F17" s="8"/>
      <c r="G17" s="9"/>
      <c r="M17" s="13">
        <v>11</v>
      </c>
      <c r="N17" s="1"/>
      <c r="O17" s="1"/>
    </row>
    <row r="18" spans="3:15" x14ac:dyDescent="0.25">
      <c r="C18" s="7" t="str">
        <f t="shared" si="0"/>
        <v/>
      </c>
      <c r="D18" s="8"/>
      <c r="E18" s="8"/>
      <c r="F18" s="8"/>
      <c r="G18" s="9"/>
      <c r="M18" s="1"/>
      <c r="N18" s="1"/>
      <c r="O18" s="1"/>
    </row>
    <row r="19" spans="3:15" x14ac:dyDescent="0.25">
      <c r="C19" s="7" t="str">
        <f t="shared" si="0"/>
        <v/>
      </c>
      <c r="D19" s="8"/>
      <c r="E19" s="8"/>
      <c r="F19" s="8"/>
      <c r="G19" s="9"/>
    </row>
    <row r="20" spans="3:15" x14ac:dyDescent="0.25">
      <c r="C20" s="7" t="str">
        <f t="shared" si="0"/>
        <v/>
      </c>
      <c r="D20" s="8"/>
      <c r="E20" s="8"/>
      <c r="F20" s="8"/>
      <c r="G20" s="9"/>
    </row>
    <row r="21" spans="3:15" x14ac:dyDescent="0.25">
      <c r="C21" s="7" t="str">
        <f t="shared" si="0"/>
        <v/>
      </c>
      <c r="D21" s="8"/>
      <c r="E21" s="8"/>
      <c r="F21" s="8"/>
      <c r="G21" s="9"/>
    </row>
    <row r="22" spans="3:15" x14ac:dyDescent="0.25">
      <c r="C22" s="7" t="str">
        <f t="shared" si="0"/>
        <v/>
      </c>
      <c r="D22" s="8"/>
      <c r="E22" s="8"/>
      <c r="F22" s="8"/>
      <c r="G22" s="9"/>
    </row>
    <row r="23" spans="3:15" x14ac:dyDescent="0.25">
      <c r="C23" s="7" t="str">
        <f t="shared" si="0"/>
        <v/>
      </c>
      <c r="D23" s="8"/>
      <c r="E23" s="8"/>
      <c r="F23" s="8"/>
      <c r="G23" s="9"/>
    </row>
    <row r="24" spans="3:15" x14ac:dyDescent="0.25">
      <c r="C24" s="7" t="str">
        <f t="shared" si="0"/>
        <v/>
      </c>
      <c r="D24" s="8"/>
      <c r="E24" s="8"/>
      <c r="F24" s="8"/>
      <c r="G24" s="9"/>
    </row>
    <row r="25" spans="3:15" x14ac:dyDescent="0.25">
      <c r="C25" s="7" t="str">
        <f t="shared" si="0"/>
        <v/>
      </c>
      <c r="D25" s="8"/>
      <c r="E25" s="8"/>
      <c r="F25" s="8"/>
      <c r="G25" s="9"/>
    </row>
    <row r="26" spans="3:15" x14ac:dyDescent="0.25">
      <c r="C26" s="7" t="str">
        <f t="shared" si="0"/>
        <v/>
      </c>
      <c r="D26" s="8"/>
      <c r="E26" s="8"/>
      <c r="F26" s="8"/>
      <c r="G26" s="9"/>
    </row>
    <row r="27" spans="3:15" x14ac:dyDescent="0.25">
      <c r="C27" s="7" t="str">
        <f t="shared" si="0"/>
        <v/>
      </c>
      <c r="D27" s="8"/>
      <c r="E27" s="8"/>
      <c r="F27" s="8"/>
      <c r="G27" s="9"/>
    </row>
    <row r="28" spans="3:15" ht="15.75" thickBot="1" x14ac:dyDescent="0.3">
      <c r="C28" s="7" t="str">
        <f t="shared" si="0"/>
        <v/>
      </c>
      <c r="D28" s="10"/>
      <c r="E28" s="11"/>
      <c r="F28" s="11"/>
      <c r="G28" s="12"/>
    </row>
    <row r="29" spans="3:15" ht="21" x14ac:dyDescent="0.35">
      <c r="D29" s="15" t="s">
        <v>25</v>
      </c>
      <c r="G29" s="14">
        <f>SUM(G5:G28)</f>
        <v>0</v>
      </c>
    </row>
  </sheetData>
  <mergeCells count="3">
    <mergeCell ref="C1:G1"/>
    <mergeCell ref="C2:G2"/>
    <mergeCell ref="D3:G3"/>
  </mergeCells>
  <dataValidations count="1">
    <dataValidation type="list" allowBlank="1" showInputMessage="1" showErrorMessage="1" sqref="J7" xr:uid="{31949CA5-0500-4F3E-87E1-BF474B7E31DF}">
      <formula1>$N$7:$N$16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9</xdr:col>
                <xdr:colOff>47625</xdr:colOff>
                <xdr:row>16</xdr:row>
                <xdr:rowOff>19050</xdr:rowOff>
              </from>
              <to>
                <xdr:col>10</xdr:col>
                <xdr:colOff>209550</xdr:colOff>
                <xdr:row>17</xdr:row>
                <xdr:rowOff>123825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7</xdr:col>
                <xdr:colOff>533400</xdr:colOff>
                <xdr:row>16</xdr:row>
                <xdr:rowOff>19050</xdr:rowOff>
              </from>
              <to>
                <xdr:col>8</xdr:col>
                <xdr:colOff>933450</xdr:colOff>
                <xdr:row>17</xdr:row>
                <xdr:rowOff>142875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8</xdr:col>
                <xdr:colOff>733425</xdr:colOff>
                <xdr:row>10</xdr:row>
                <xdr:rowOff>19050</xdr:rowOff>
              </from>
              <to>
                <xdr:col>10</xdr:col>
                <xdr:colOff>104775</xdr:colOff>
                <xdr:row>11</xdr:row>
                <xdr:rowOff>152400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31" r:id="rId10" name="CommandButton4">
          <controlPr defaultSize="0" autoLine="0" r:id="rId11">
            <anchor moveWithCells="1">
              <from>
                <xdr:col>39</xdr:col>
                <xdr:colOff>66675</xdr:colOff>
                <xdr:row>32</xdr:row>
                <xdr:rowOff>95250</xdr:rowOff>
              </from>
              <to>
                <xdr:col>40</xdr:col>
                <xdr:colOff>352425</xdr:colOff>
                <xdr:row>34</xdr:row>
                <xdr:rowOff>38100</xdr:rowOff>
              </to>
            </anchor>
          </controlPr>
        </control>
      </mc:Choice>
      <mc:Fallback>
        <control shapeId="1031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2022-06-06T05:39:36Z</cp:lastPrinted>
  <dcterms:created xsi:type="dcterms:W3CDTF">2022-06-05T15:17:57Z</dcterms:created>
  <dcterms:modified xsi:type="dcterms:W3CDTF">2022-06-06T05:58:47Z</dcterms:modified>
</cp:coreProperties>
</file>